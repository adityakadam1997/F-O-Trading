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rade Analyzer" sheetId="1" state="visible" r:id="rId3"/>
    <sheet name="IV Helper" sheetId="2" state="visible" r:id="rId4"/>
    <sheet name="Trade Log" sheetId="3" state="visible" r:id="rId5"/>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B9" authorId="0">
      <text>
        <r>
          <rPr>
            <sz val="10"/>
            <rFont val="Arial"/>
            <family val="2"/>
          </rPr>
          <t xml:space="preserve">Calendar days to expiry. Rate is interpolated MIBOR for this tenor - see note on IV Helper sheet.</t>
        </r>
      </text>
    </comment>
    <comment ref="B11" authorId="0">
      <text>
        <r>
          <rPr>
            <sz val="10"/>
            <rFont val="Arial"/>
            <family val="2"/>
          </rPr>
          <t xml:space="preserve">Fill this using the IV Helper sheet: start with the approximation value, then refine with Goal Seek (instructions on that sheet). Seed value 18% is an example.</t>
        </r>
      </text>
    </comment>
    <comment ref="B12" authorId="0">
      <text>
        <r>
          <rPr>
            <sz val="10"/>
            <rFont val="Arial"/>
            <family val="2"/>
          </rPr>
          <t xml:space="preserve">Rough average daily move of the index in points. Example value 350 supplied by user assumption - adjust to current market.</t>
        </r>
      </text>
    </comment>
  </commentList>
</comments>
</file>

<file path=xl/sharedStrings.xml><?xml version="1.0" encoding="utf-8"?>
<sst xmlns="http://schemas.openxmlformats.org/spreadsheetml/2006/main" count="101" uniqueCount="97">
  <si>
    <t xml:space="preserve">F&amp;O OPTION BUYER ANALYZER (CE / PE)</t>
  </si>
  <si>
    <t xml:space="preserve">Legend: BLUE text = you fill in | YELLOW cell = IV (fill via IV Helper sheet) | Black = formulas, do not edit</t>
  </si>
  <si>
    <t xml:space="preserve">INPUTS</t>
  </si>
  <si>
    <t xml:space="preserve">Spot price (index)</t>
  </si>
  <si>
    <t xml:space="preserve">Strike</t>
  </si>
  <si>
    <t xml:space="preserve">Option type (CE / PE)</t>
  </si>
  <si>
    <t xml:space="preserve">CE</t>
  </si>
  <si>
    <t xml:space="preserve">Market premium (Rs)</t>
  </si>
  <si>
    <t xml:space="preserve">Days to expiry</t>
  </si>
  <si>
    <t xml:space="preserve">Risk-free rate (annual)</t>
  </si>
  <si>
    <t xml:space="preserve">Implied volatility (IV)</t>
  </si>
  <si>
    <t xml:space="preserve">Avg daily range of index (points)</t>
  </si>
  <si>
    <t xml:space="preserve">Planned holding days</t>
  </si>
  <si>
    <t xml:space="preserve">CALCULATIONS</t>
  </si>
  <si>
    <t xml:space="preserve">T (years)</t>
  </si>
  <si>
    <t xml:space="preserve">d1</t>
  </si>
  <si>
    <t xml:space="preserve">d2</t>
  </si>
  <si>
    <t xml:space="preserve">Fair value (Black-Scholes, Rs)</t>
  </si>
  <si>
    <t xml:space="preserve">Delta</t>
  </si>
  <si>
    <t xml:space="preserve">Theta (Rs per day)</t>
  </si>
  <si>
    <t xml:space="preserve">Vega (Rs per 1% IV change)</t>
  </si>
  <si>
    <t xml:space="preserve">Breakeven at expiry</t>
  </si>
  <si>
    <t xml:space="preserve">Points needed to reach breakeven</t>
  </si>
  <si>
    <t xml:space="preserve">VERDICT CHECKS</t>
  </si>
  <si>
    <t xml:space="preserve">Value</t>
  </si>
  <si>
    <t xml:space="preserve">Result</t>
  </si>
  <si>
    <t xml:space="preserve">Rule</t>
  </si>
  <si>
    <t xml:space="preserve">1. Price fairness (Premium / Fair value)</t>
  </si>
  <si>
    <t xml:space="preserve">PASS if you pay no more than 10% above Black-Scholes fair value</t>
  </si>
  <si>
    <t xml:space="preserve">2. Theta burden (daily decay / premium)</t>
  </si>
  <si>
    <t xml:space="preserve">PASS if daily time decay is 4% of premium or less</t>
  </si>
  <si>
    <t xml:space="preserve">3. Breakeven feasibility (points needed / achievable move)</t>
  </si>
  <si>
    <t xml:space="preserve">PASS if breakeven is reachable within planned holding days at avg daily range</t>
  </si>
  <si>
    <t xml:space="preserve">4. Time buffer (days to expiry / (3 x holding days))</t>
  </si>
  <si>
    <t xml:space="preserve">PASS if expiry is at least 3x your planned holding period away</t>
  </si>
  <si>
    <t xml:space="preserve">Checks passed (out of 4)</t>
  </si>
  <si>
    <t xml:space="preserve">VERDICT</t>
  </si>
  <si>
    <t xml:space="preserve">GREEN = math is on your side (you still need a directional view). RED = structure is against you.</t>
  </si>
  <si>
    <t xml:space="preserve">EXIT RULES (pre-committed before entry)</t>
  </si>
  <si>
    <t xml:space="preserve">Stop-loss premium (-30%)</t>
  </si>
  <si>
    <t xml:space="preserve">Exit if premium falls to this level - no exceptions</t>
  </si>
  <si>
    <t xml:space="preserve">Target premium (+60%)</t>
  </si>
  <si>
    <t xml:space="preserve">Book profit here (risk-reward = 1:2)</t>
  </si>
  <si>
    <t xml:space="preserve">Time stop (days)</t>
  </si>
  <si>
    <t xml:space="preserve">Exit after this many days even if flat - theta is eating the position</t>
  </si>
  <si>
    <t xml:space="preserve">Note: Stop-loss -30% and target +60% are user-chosen risk parameters, not market data. Rate 6.65% is an example interpolated 34-day MIBOR supplied by user; update from FBIL/NSE.</t>
  </si>
  <si>
    <t xml:space="preserve">FUTURE PREMIUM FORECAST (predicted premium after the move)</t>
  </si>
  <si>
    <t xml:space="preserve">Days ahead (usually = planned holding days)</t>
  </si>
  <si>
    <t xml:space="preserve">Scenario</t>
  </si>
  <si>
    <t xml:space="preserve">Index move (pts)</t>
  </si>
  <si>
    <t xml:space="preserve">Projected spot</t>
  </si>
  <si>
    <t xml:space="preserve">Predicted premium (Rs)</t>
  </si>
  <si>
    <t xml:space="preserve">P&amp;L (Rs)</t>
  </si>
  <si>
    <t xml:space="preserve">P&amp;L %</t>
  </si>
  <si>
    <t xml:space="preserve">T' (yrs)</t>
  </si>
  <si>
    <t xml:space="preserve">d1'</t>
  </si>
  <si>
    <t xml:space="preserve">d2'</t>
  </si>
  <si>
    <t xml:space="preserve">Bull case (avg range x days)</t>
  </si>
  <si>
    <t xml:space="preserve">Flat (no move - theta only)</t>
  </si>
  <si>
    <t xml:space="preserve">Bear case</t>
  </si>
  <si>
    <t xml:space="preserve">Custom move (edit blue cell)</t>
  </si>
  <si>
    <t xml:space="preserve">How to read: this predicts the premium after "days ahead", assuming the index moves by the points shown and IV stays the same as B11. The flat row shows pure time decay. Compare predicted premium vs your target (B38) and stop-loss (B37). Columns G-I are helper calculations, do not edit.</t>
  </si>
  <si>
    <t xml:space="preserve">IMPLIED VOLATILITY HELPER</t>
  </si>
  <si>
    <t xml:space="preserve">Step 1 - Quick approximation (near-ATM only):</t>
  </si>
  <si>
    <t xml:space="preserve">IV estimate = Premium / (0.4 x Spot x SQRT(T))</t>
  </si>
  <si>
    <t xml:space="preserve">IV estimate for your current trade</t>
  </si>
  <si>
    <t xml:space="preserve">Copy this value into the yellow IV cell (Trade Analyzer B11) as a starting point.</t>
  </si>
  <si>
    <t xml:space="preserve">Step 2 - Exact IV via Goal Seek:</t>
  </si>
  <si>
    <t xml:space="preserve">1. Go to Trade Analyzer sheet.</t>
  </si>
  <si>
    <t xml:space="preserve">2. Data tab -&gt; What-If Analysis -&gt; Goal Seek.</t>
  </si>
  <si>
    <t xml:space="preserve">3. Set cell: B19 (Fair value).</t>
  </si>
  <si>
    <t xml:space="preserve">4. To value: type your market premium (same as B8).</t>
  </si>
  <si>
    <t xml:space="preserve">5. By changing cell: B11 (IV).</t>
  </si>
  <si>
    <t xml:space="preserve">6. Click OK - Excel finds the exact IV the market is pricing.</t>
  </si>
  <si>
    <t xml:space="preserve">After Goal Seek, check 1 (price fairness) will read exactly 1.00 - that is expected.</t>
  </si>
  <si>
    <t xml:space="preserve">To judge cheap/expensive instead: keep IV at a reference level (e.g. India VIX or the strike's usual IV) and compare fair value vs premium.</t>
  </si>
  <si>
    <t xml:space="preserve">Interest rate note:</t>
  </si>
  <si>
    <t xml:space="preserve">For odd expiry tenors, interpolate MIBOR: r = r1 + (days - d1) x (r2 - r1) / (d2 - d1)</t>
  </si>
  <si>
    <t xml:space="preserve">Example: 14d @ 6.50%, 30d @ 6.80% -&gt; 22d = 6.50 + 8 x 0.30/16 = 6.65%</t>
  </si>
  <si>
    <t xml:space="preserve">Date</t>
  </si>
  <si>
    <t xml:space="preserve">Index</t>
  </si>
  <si>
    <t xml:space="preserve">Type</t>
  </si>
  <si>
    <t xml:space="preserve">Entry premium</t>
  </si>
  <si>
    <t xml:space="preserve">IV at entry</t>
  </si>
  <si>
    <t xml:space="preserve">Verdict given</t>
  </si>
  <si>
    <t xml:space="preserve">Exit date</t>
  </si>
  <si>
    <t xml:space="preserve">Exit premium</t>
  </si>
  <si>
    <t xml:space="preserve">Followed exit rules? (Y/N)</t>
  </si>
  <si>
    <t xml:space="preserve">Notes</t>
  </si>
  <si>
    <t xml:space="preserve">21-Jul-2026</t>
  </si>
  <si>
    <t xml:space="preserve">BANKNIFTY</t>
  </si>
  <si>
    <t xml:space="preserve">18.0%</t>
  </si>
  <si>
    <t xml:space="preserve">YELLOW - MARGINAL</t>
  </si>
  <si>
    <t xml:space="preserve">22-Jul-2026</t>
  </si>
  <si>
    <t xml:space="preserve">Y</t>
  </si>
  <si>
    <t xml:space="preserve">Example row - delete when logging real trades</t>
  </si>
  <si>
    <t xml:space="preserve">Log every trade with the verdict the sheet gave. After 30-50 trades, compare P&amp;L of GREEN vs YELLOW vs RED verdicts - that tells you if the checklist has an edge.</t>
  </si>
</sst>
</file>

<file path=xl/styles.xml><?xml version="1.0" encoding="utf-8"?>
<styleSheet xmlns="http://schemas.openxmlformats.org/spreadsheetml/2006/main">
  <numFmts count="9">
    <numFmt numFmtId="164" formatCode="General"/>
    <numFmt numFmtId="165" formatCode="0"/>
    <numFmt numFmtId="166" formatCode="0.00"/>
    <numFmt numFmtId="167" formatCode="0.00%"/>
    <numFmt numFmtId="168" formatCode="0.0%"/>
    <numFmt numFmtId="169" formatCode="0.0000"/>
    <numFmt numFmtId="170" formatCode="0.000"/>
    <numFmt numFmtId="171" formatCode="General"/>
    <numFmt numFmtId="172" formatCode="0.0"/>
  </numFmts>
  <fonts count="12">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name val="Arial"/>
      <family val="0"/>
      <charset val="1"/>
    </font>
    <font>
      <b val="true"/>
      <sz val="12"/>
      <name val="Arial"/>
      <family val="0"/>
      <charset val="1"/>
    </font>
    <font>
      <sz val="11"/>
      <name val="Arial"/>
      <family val="0"/>
      <charset val="1"/>
    </font>
    <font>
      <sz val="11"/>
      <color rgb="FF0000FF"/>
      <name val="Arial"/>
      <family val="0"/>
      <charset val="1"/>
    </font>
    <font>
      <b val="true"/>
      <sz val="11"/>
      <name val="Arial"/>
      <family val="0"/>
      <charset val="1"/>
    </font>
    <font>
      <sz val="9"/>
      <name val="Arial"/>
      <family val="0"/>
      <charset val="1"/>
    </font>
    <font>
      <sz val="10"/>
      <name val="Arial"/>
      <family val="2"/>
    </font>
  </fonts>
  <fills count="4">
    <fill>
      <patternFill patternType="none"/>
    </fill>
    <fill>
      <patternFill patternType="gray125"/>
    </fill>
    <fill>
      <patternFill patternType="solid">
        <fgColor rgb="FFD9D9D9"/>
        <bgColor rgb="FFC0C0C0"/>
      </patternFill>
    </fill>
    <fill>
      <patternFill patternType="solid">
        <fgColor rgb="FFFFFF00"/>
        <bgColor rgb="FFFFFF0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6" fontId="8" fillId="0" borderId="1" xfId="0" applyFont="true" applyBorder="true" applyAlignment="true" applyProtection="false">
      <alignment horizontal="general" vertical="bottom" textRotation="0" wrapText="false" indent="0" shrinkToFit="false"/>
      <protection locked="true" hidden="false"/>
    </xf>
    <xf numFmtId="167" fontId="8" fillId="0" borderId="1" xfId="0" applyFont="true" applyBorder="true" applyAlignment="true" applyProtection="false">
      <alignment horizontal="general" vertical="bottom" textRotation="0" wrapText="false" indent="0" shrinkToFit="false"/>
      <protection locked="true" hidden="false"/>
    </xf>
    <xf numFmtId="168" fontId="8" fillId="3" borderId="1" xfId="0" applyFont="true" applyBorder="true" applyAlignment="true" applyProtection="false">
      <alignment horizontal="general" vertical="bottom" textRotation="0" wrapText="false" indent="0" shrinkToFit="false"/>
      <protection locked="true" hidden="false"/>
    </xf>
    <xf numFmtId="169" fontId="7" fillId="0" borderId="1" xfId="0" applyFont="true" applyBorder="true" applyAlignment="true" applyProtection="false">
      <alignment horizontal="general" vertical="bottom" textRotation="0" wrapText="false" indent="0" shrinkToFit="false"/>
      <protection locked="true" hidden="false"/>
    </xf>
    <xf numFmtId="166" fontId="7" fillId="0" borderId="1" xfId="0" applyFont="true" applyBorder="true" applyAlignment="true" applyProtection="false">
      <alignment horizontal="general" vertical="bottom" textRotation="0" wrapText="false" indent="0" shrinkToFit="false"/>
      <protection locked="true" hidden="false"/>
    </xf>
    <xf numFmtId="170" fontId="7" fillId="0" borderId="1" xfId="0" applyFont="true" applyBorder="true" applyAlignment="tru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center"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8" fontId="7" fillId="0" borderId="1"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71" fontId="9" fillId="0" borderId="1"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72" fontId="7"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8" fontId="0" fillId="0" borderId="1" xfId="0" applyFont="false" applyBorder="tru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6" fontId="7" fillId="0" borderId="0" xfId="0" applyFont="true" applyBorder="false" applyAlignment="true" applyProtection="false">
      <alignment horizontal="general" vertical="bottom" textRotation="0" wrapText="false" indent="0" shrinkToFit="false"/>
      <protection locked="true" hidden="false"/>
    </xf>
    <xf numFmtId="168" fontId="7"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2" min="2" style="1" width="16"/>
    <col collapsed="false" customWidth="true" hidden="false" outlineLevel="0" max="3" min="3" style="1" width="12"/>
    <col collapsed="false" customWidth="true" hidden="false" outlineLevel="0" max="4" min="4" style="1" width="46"/>
  </cols>
  <sheetData>
    <row r="1" customFormat="false" ht="17.25" hidden="false" customHeight="true" outlineLevel="0" collapsed="false">
      <c r="A1" s="2" t="s">
        <v>0</v>
      </c>
    </row>
    <row r="2" customFormat="false" ht="15" hidden="false" customHeight="true" outlineLevel="0" collapsed="false">
      <c r="A2" s="3" t="s">
        <v>1</v>
      </c>
    </row>
    <row r="4" customFormat="false" ht="15" hidden="false" customHeight="true" outlineLevel="0" collapsed="false">
      <c r="A4" s="4" t="s">
        <v>2</v>
      </c>
      <c r="B4" s="5"/>
    </row>
    <row r="5" customFormat="false" ht="15" hidden="false" customHeight="true" outlineLevel="0" collapsed="false">
      <c r="A5" s="6" t="s">
        <v>3</v>
      </c>
      <c r="B5" s="7" t="n">
        <v>60800</v>
      </c>
    </row>
    <row r="6" customFormat="false" ht="15" hidden="false" customHeight="true" outlineLevel="0" collapsed="false">
      <c r="A6" s="6" t="s">
        <v>4</v>
      </c>
      <c r="B6" s="7" t="n">
        <v>61500</v>
      </c>
    </row>
    <row r="7" customFormat="false" ht="15" hidden="false" customHeight="true" outlineLevel="0" collapsed="false">
      <c r="A7" s="6" t="s">
        <v>5</v>
      </c>
      <c r="B7" s="8" t="s">
        <v>6</v>
      </c>
    </row>
    <row r="8" customFormat="false" ht="15" hidden="false" customHeight="true" outlineLevel="0" collapsed="false">
      <c r="A8" s="6" t="s">
        <v>7</v>
      </c>
      <c r="B8" s="9" t="n">
        <v>91</v>
      </c>
    </row>
    <row r="9" customFormat="false" ht="15" hidden="false" customHeight="true" outlineLevel="0" collapsed="false">
      <c r="A9" s="6" t="s">
        <v>8</v>
      </c>
      <c r="B9" s="7" t="n">
        <v>34</v>
      </c>
    </row>
    <row r="10" customFormat="false" ht="15" hidden="false" customHeight="true" outlineLevel="0" collapsed="false">
      <c r="A10" s="6" t="s">
        <v>9</v>
      </c>
      <c r="B10" s="10" t="n">
        <v>0.0665</v>
      </c>
    </row>
    <row r="11" customFormat="false" ht="15" hidden="false" customHeight="true" outlineLevel="0" collapsed="false">
      <c r="A11" s="6" t="s">
        <v>10</v>
      </c>
      <c r="B11" s="11" t="n">
        <v>0.18</v>
      </c>
    </row>
    <row r="12" customFormat="false" ht="15" hidden="false" customHeight="true" outlineLevel="0" collapsed="false">
      <c r="A12" s="6" t="s">
        <v>11</v>
      </c>
      <c r="B12" s="7" t="n">
        <v>350</v>
      </c>
    </row>
    <row r="13" customFormat="false" ht="15" hidden="false" customHeight="true" outlineLevel="0" collapsed="false">
      <c r="A13" s="6" t="s">
        <v>12</v>
      </c>
      <c r="B13" s="7" t="n">
        <v>3</v>
      </c>
    </row>
    <row r="15" customFormat="false" ht="15" hidden="false" customHeight="true" outlineLevel="0" collapsed="false">
      <c r="A15" s="4" t="s">
        <v>13</v>
      </c>
      <c r="B15" s="5"/>
    </row>
    <row r="16" customFormat="false" ht="15" hidden="false" customHeight="true" outlineLevel="0" collapsed="false">
      <c r="A16" s="6" t="s">
        <v>14</v>
      </c>
      <c r="B16" s="12" t="n">
        <f aca="false">B9/365</f>
        <v>0.0931506849315069</v>
      </c>
    </row>
    <row r="17" customFormat="false" ht="15" hidden="false" customHeight="true" outlineLevel="0" collapsed="false">
      <c r="A17" s="6" t="s">
        <v>15</v>
      </c>
      <c r="B17" s="12" t="n">
        <f aca="false">(LN(B5/B6)+(B10+B11^2/2)*B16)/(B11*SQRT(B16))</f>
        <v>-0.068147497979092</v>
      </c>
    </row>
    <row r="18" customFormat="false" ht="15" hidden="false" customHeight="true" outlineLevel="0" collapsed="false">
      <c r="A18" s="6" t="s">
        <v>16</v>
      </c>
      <c r="B18" s="12" t="n">
        <f aca="false">B17-B11*SQRT(B16)</f>
        <v>-0.123084572817318</v>
      </c>
    </row>
    <row r="19" customFormat="false" ht="15" hidden="false" customHeight="true" outlineLevel="0" collapsed="false">
      <c r="A19" s="6" t="s">
        <v>17</v>
      </c>
      <c r="B19" s="13" t="n">
        <f aca="false">IF(B7="CE",B5*NORMSDIST(B17)-B6*EXP(-B10*B16)*NORMSDIST(B18),B6*EXP(-B10*B16)*NORMSDIST(-B18)-B5*NORMSDIST(-B17))</f>
        <v>1181.87085902641</v>
      </c>
    </row>
    <row r="20" customFormat="false" ht="15" hidden="false" customHeight="true" outlineLevel="0" collapsed="false">
      <c r="A20" s="6" t="s">
        <v>18</v>
      </c>
      <c r="B20" s="14" t="n">
        <f aca="false">IF(B7="CE",NORMSDIST(B17),NORMSDIST(B17)-1)</f>
        <v>0.472834110145754</v>
      </c>
    </row>
    <row r="21" customFormat="false" ht="15" hidden="false" customHeight="true" outlineLevel="0" collapsed="false">
      <c r="A21" s="6" t="s">
        <v>19</v>
      </c>
      <c r="B21" s="13" t="n">
        <f aca="false">IF(B7="CE",(-(B5*NORMDIST(B17,0,1,FALSE())*B11)/(2*SQRT(B16))-B10*B6*EXP(-B10*B16)*NORMSDIST(B18))/365,(-(B5*NORMDIST(B17,0,1,FALSE())*B11)/(2*SQRT(B16))+B10*B6*EXP(-B10*B16)*NORMSDIST(-B18))/365)</f>
        <v>-24.5730569593422</v>
      </c>
    </row>
    <row r="22" customFormat="false" ht="15" hidden="false" customHeight="true" outlineLevel="0" collapsed="false">
      <c r="A22" s="6" t="s">
        <v>20</v>
      </c>
      <c r="B22" s="13" t="n">
        <f aca="false">B5*NORMDIST(B17,0,1,FALSE())*SQRT(B16)/100</f>
        <v>73.8581154206671</v>
      </c>
    </row>
    <row r="23" customFormat="false" ht="15" hidden="false" customHeight="true" outlineLevel="0" collapsed="false">
      <c r="A23" s="6" t="s">
        <v>21</v>
      </c>
      <c r="B23" s="15" t="n">
        <f aca="false">IF(B7="CE",B6+B8,B6-B8)</f>
        <v>61591</v>
      </c>
    </row>
    <row r="24" customFormat="false" ht="15" hidden="false" customHeight="true" outlineLevel="0" collapsed="false">
      <c r="A24" s="6" t="s">
        <v>22</v>
      </c>
      <c r="B24" s="15" t="n">
        <f aca="false">IF(B7="CE",B23-B5,B5-B23)</f>
        <v>791</v>
      </c>
    </row>
    <row r="26" customFormat="false" ht="15" hidden="false" customHeight="true" outlineLevel="0" collapsed="false">
      <c r="A26" s="4" t="s">
        <v>23</v>
      </c>
      <c r="B26" s="16" t="s">
        <v>24</v>
      </c>
      <c r="C26" s="16" t="s">
        <v>25</v>
      </c>
      <c r="D26" s="16" t="s">
        <v>26</v>
      </c>
    </row>
    <row r="27" customFormat="false" ht="15" hidden="false" customHeight="true" outlineLevel="0" collapsed="false">
      <c r="A27" s="6" t="s">
        <v>27</v>
      </c>
      <c r="B27" s="13" t="n">
        <f aca="false">B8/B19</f>
        <v>0.0769965680302523</v>
      </c>
      <c r="C27" s="17" t="str">
        <f aca="false">IF(B27&lt;=1.1,"PASS","FAIL")</f>
        <v>PASS</v>
      </c>
      <c r="D27" s="18" t="s">
        <v>28</v>
      </c>
    </row>
    <row r="28" customFormat="false" ht="15" hidden="false" customHeight="true" outlineLevel="0" collapsed="false">
      <c r="A28" s="6" t="s">
        <v>29</v>
      </c>
      <c r="B28" s="19" t="n">
        <f aca="false">ABS(B21)/B8</f>
        <v>0.270033592959805</v>
      </c>
      <c r="C28" s="17" t="str">
        <f aca="false">IF(B28&lt;=0.04,"PASS","FAIL")</f>
        <v>FAIL</v>
      </c>
      <c r="D28" s="18" t="s">
        <v>30</v>
      </c>
    </row>
    <row r="29" customFormat="false" ht="15" hidden="false" customHeight="true" outlineLevel="0" collapsed="false">
      <c r="A29" s="6" t="s">
        <v>31</v>
      </c>
      <c r="B29" s="13" t="n">
        <f aca="false">B24/(B12*B13)</f>
        <v>0.753333333333333</v>
      </c>
      <c r="C29" s="17" t="str">
        <f aca="false">IF(B29&lt;=1,"PASS","FAIL")</f>
        <v>PASS</v>
      </c>
      <c r="D29" s="18" t="s">
        <v>32</v>
      </c>
    </row>
    <row r="30" customFormat="false" ht="15" hidden="false" customHeight="true" outlineLevel="0" collapsed="false">
      <c r="A30" s="6" t="s">
        <v>33</v>
      </c>
      <c r="B30" s="13" t="n">
        <f aca="false">B9/(3*B13)</f>
        <v>3.77777777777778</v>
      </c>
      <c r="C30" s="17" t="str">
        <f aca="false">IF(B30&gt;=1,"PASS","FAIL")</f>
        <v>PASS</v>
      </c>
      <c r="D30" s="18" t="s">
        <v>34</v>
      </c>
    </row>
    <row r="32" customFormat="false" ht="15" hidden="false" customHeight="true" outlineLevel="0" collapsed="false">
      <c r="A32" s="20" t="s">
        <v>35</v>
      </c>
      <c r="B32" s="21" t="n">
        <f aca="false">COUNTIF(C27:C30,"PASS")</f>
        <v>3</v>
      </c>
    </row>
    <row r="33" customFormat="false" ht="15" hidden="false" customHeight="true" outlineLevel="0" collapsed="false">
      <c r="A33" s="22" t="s">
        <v>36</v>
      </c>
      <c r="B33" s="23" t="str">
        <f aca="false">IF(B32=4,"GREEN - FAVOURABLE",IF(B32&gt;=2,"YELLOW - MARGINAL","RED - AVOID"))</f>
        <v>YELLOW - MARGINAL</v>
      </c>
      <c r="D33" s="3" t="s">
        <v>37</v>
      </c>
    </row>
    <row r="36" customFormat="false" ht="15" hidden="false" customHeight="true" outlineLevel="0" collapsed="false">
      <c r="A36" s="4" t="s">
        <v>38</v>
      </c>
      <c r="B36" s="5"/>
    </row>
    <row r="37" customFormat="false" ht="15" hidden="false" customHeight="true" outlineLevel="0" collapsed="false">
      <c r="A37" s="6" t="s">
        <v>39</v>
      </c>
      <c r="B37" s="13" t="n">
        <f aca="false">B8*0.7</f>
        <v>63.7</v>
      </c>
      <c r="D37" s="18" t="s">
        <v>40</v>
      </c>
    </row>
    <row r="38" customFormat="false" ht="15" hidden="false" customHeight="true" outlineLevel="0" collapsed="false">
      <c r="A38" s="6" t="s">
        <v>41</v>
      </c>
      <c r="B38" s="13" t="n">
        <f aca="false">B8*1.6</f>
        <v>145.6</v>
      </c>
      <c r="D38" s="18" t="s">
        <v>42</v>
      </c>
    </row>
    <row r="39" customFormat="false" ht="15" hidden="false" customHeight="true" outlineLevel="0" collapsed="false">
      <c r="A39" s="6" t="s">
        <v>43</v>
      </c>
      <c r="B39" s="15" t="n">
        <f aca="false">B13</f>
        <v>3</v>
      </c>
      <c r="D39" s="18" t="s">
        <v>44</v>
      </c>
    </row>
    <row r="41" customFormat="false" ht="15" hidden="false" customHeight="true" outlineLevel="0" collapsed="false">
      <c r="A41" s="3" t="s">
        <v>45</v>
      </c>
    </row>
    <row r="43" customFormat="false" ht="15" hidden="false" customHeight="false" outlineLevel="0" collapsed="false">
      <c r="A43" s="24" t="s">
        <v>46</v>
      </c>
      <c r="B43" s="25"/>
      <c r="C43" s="25"/>
      <c r="D43" s="25"/>
      <c r="E43" s="25"/>
      <c r="F43" s="25"/>
      <c r="G43" s="25"/>
      <c r="H43" s="25"/>
      <c r="I43" s="25"/>
    </row>
    <row r="44" customFormat="false" ht="15" hidden="false" customHeight="false" outlineLevel="0" collapsed="false">
      <c r="A44" s="26" t="s">
        <v>47</v>
      </c>
      <c r="B44" s="27" t="n">
        <v>3</v>
      </c>
    </row>
    <row r="46" customFormat="false" ht="15" hidden="false" customHeight="false" outlineLevel="0" collapsed="false">
      <c r="A46" s="28" t="s">
        <v>48</v>
      </c>
      <c r="B46" s="28" t="s">
        <v>49</v>
      </c>
      <c r="C46" s="28" t="s">
        <v>50</v>
      </c>
      <c r="D46" s="28" t="s">
        <v>51</v>
      </c>
      <c r="E46" s="28" t="s">
        <v>52</v>
      </c>
      <c r="F46" s="28" t="s">
        <v>53</v>
      </c>
      <c r="G46" s="28" t="s">
        <v>54</v>
      </c>
      <c r="H46" s="28" t="s">
        <v>55</v>
      </c>
      <c r="I46" s="28" t="s">
        <v>56</v>
      </c>
    </row>
    <row r="47" customFormat="false" ht="15" hidden="false" customHeight="false" outlineLevel="0" collapsed="false">
      <c r="A47" s="26" t="s">
        <v>57</v>
      </c>
      <c r="B47" s="29" t="n">
        <f aca="false">B12*B44</f>
        <v>1050</v>
      </c>
      <c r="C47" s="29" t="n">
        <f aca="false">$B$5+B47</f>
        <v>61850</v>
      </c>
      <c r="D47" s="30" t="n">
        <f aca="false">IF(G47=0,IF($B$7="CE",MAX(C47-$B$6,0),MAX($B$6-C47,0)),IF($B$7="CE",C47*NORMSDIST(H47)-$B$6*EXP(-$B$10*G47)*NORMSDIST(I47),$B$6*EXP(-$B$10*G47)*NORMSDIST(-I47)-C47*NORMSDIST(-H47)))</f>
        <v>1664.97177307046</v>
      </c>
      <c r="E47" s="30" t="n">
        <f aca="false">D47-$B$8</f>
        <v>1573.97177307046</v>
      </c>
      <c r="F47" s="31" t="n">
        <f aca="false">IF($B$8=0,0,E47/$B$8)</f>
        <v>17.2963931106644</v>
      </c>
      <c r="G47" s="32" t="n">
        <f aca="false">MAX($B$9-$B$44,0)/365</f>
        <v>0.0849315068493151</v>
      </c>
      <c r="H47" s="32" t="n">
        <f aca="false">IF(G47=0,0,(LN(C47/$B$6)+($B$10+$B$11^2/2)*G47)/($B$11*SQRT(G47)))</f>
        <v>0.242077476413319</v>
      </c>
      <c r="I47" s="32" t="n">
        <f aca="false">IF(G47=0,0,H47-$B$11*SQRT(G47))</f>
        <v>0.18962005728201</v>
      </c>
    </row>
    <row r="48" customFormat="false" ht="15" hidden="false" customHeight="false" outlineLevel="0" collapsed="false">
      <c r="A48" s="26" t="s">
        <v>58</v>
      </c>
      <c r="B48" s="29" t="n">
        <v>0</v>
      </c>
      <c r="C48" s="29" t="n">
        <f aca="false">$B$5+B48</f>
        <v>60800</v>
      </c>
      <c r="D48" s="30" t="n">
        <f aca="false">IF(G48=0,IF($B$7="CE",MAX(C48-$B$6,0),MAX($B$6-C48,0)),IF($B$7="CE",C48*NORMSDIST(H48)-$B$6*EXP(-$B$10*G48)*NORMSDIST(I48),$B$6*EXP(-$B$10*G48)*NORMSDIST(-I48)-C48*NORMSDIST(-H48)))</f>
        <v>1106.91755778417</v>
      </c>
      <c r="E48" s="30" t="n">
        <f aca="false">D48-$B$8</f>
        <v>1015.91755778417</v>
      </c>
      <c r="F48" s="31" t="n">
        <f aca="false">IF($B$8=0,0,E48/$B$8)</f>
        <v>11.1639292064194</v>
      </c>
      <c r="G48" s="32" t="n">
        <f aca="false">MAX($B$9-$B$44,0)/365</f>
        <v>0.0849315068493151</v>
      </c>
      <c r="H48" s="32" t="n">
        <f aca="false">IF(G48=0,0,(LN(C48/$B$6)+($B$10+$B$11^2/2)*G48)/($B$11*SQRT(G48)))</f>
        <v>-0.0843264937003413</v>
      </c>
      <c r="I48" s="32" t="n">
        <f aca="false">IF(G48=0,0,H48-$B$11*SQRT(G48))</f>
        <v>-0.13678391283165</v>
      </c>
    </row>
    <row r="49" customFormat="false" ht="15" hidden="false" customHeight="false" outlineLevel="0" collapsed="false">
      <c r="A49" s="26" t="s">
        <v>59</v>
      </c>
      <c r="B49" s="29" t="n">
        <f aca="false">-B12*B44</f>
        <v>-1050</v>
      </c>
      <c r="C49" s="29" t="n">
        <f aca="false">$B$5+B49</f>
        <v>59750</v>
      </c>
      <c r="D49" s="30" t="n">
        <f aca="false">IF(G49=0,IF($B$7="CE",MAX(C49-$B$6,0),MAX($B$6-C49,0)),IF($B$7="CE",C49*NORMSDIST(H49)-$B$6*EXP(-$B$10*G49)*NORMSDIST(I49),$B$6*EXP(-$B$10*G49)*NORMSDIST(-I49)-C49*NORMSDIST(-H49)))</f>
        <v>685.049682835659</v>
      </c>
      <c r="E49" s="30" t="n">
        <f aca="false">D49-$B$8</f>
        <v>594.049682835659</v>
      </c>
      <c r="F49" s="31" t="n">
        <f aca="false">IF($B$8=0,0,E49/$B$8)</f>
        <v>6.52801849269955</v>
      </c>
      <c r="G49" s="32" t="n">
        <f aca="false">MAX($B$9-$B$44,0)/365</f>
        <v>0.0849315068493151</v>
      </c>
      <c r="H49" s="32" t="n">
        <f aca="false">IF(G49=0,0,(LN(C49/$B$6)+($B$10+$B$11^2/2)*G49)/($B$11*SQRT(G49)))</f>
        <v>-0.416416757555963</v>
      </c>
      <c r="I49" s="32" t="n">
        <f aca="false">IF(G49=0,0,H49-$B$11*SQRT(G49))</f>
        <v>-0.468874176687272</v>
      </c>
    </row>
    <row r="50" customFormat="false" ht="15" hidden="false" customHeight="false" outlineLevel="0" collapsed="false">
      <c r="A50" s="26" t="s">
        <v>60</v>
      </c>
      <c r="B50" s="27" t="n">
        <v>700</v>
      </c>
      <c r="C50" s="29" t="n">
        <f aca="false">$B$5+B50</f>
        <v>61500</v>
      </c>
      <c r="D50" s="30" t="n">
        <f aca="false">IF(G50=0,IF($B$7="CE",MAX(C50-$B$6,0),MAX($B$6-C50,0)),IF($B$7="CE",C50*NORMSDIST(H50)-$B$6*EXP(-$B$10*G50)*NORMSDIST(I50),$B$6*EXP(-$B$10*G50)*NORMSDIST(-I50)-C50*NORMSDIST(-H50)))</f>
        <v>1463.88256393632</v>
      </c>
      <c r="E50" s="30" t="n">
        <f aca="false">D50-$B$8</f>
        <v>1372.88256393632</v>
      </c>
      <c r="F50" s="31" t="n">
        <f aca="false">IF($B$8=0,0,E50/$B$8)</f>
        <v>15.0866215817178</v>
      </c>
      <c r="G50" s="32" t="n">
        <f aca="false">MAX($B$9-$B$44,0)/365</f>
        <v>0.0849315068493151</v>
      </c>
      <c r="H50" s="32" t="n">
        <f aca="false">IF(G50=0,0,(LN(C50/$B$6)+($B$10+$B$11^2/2)*G50)/($B$11*SQRT(G50)))</f>
        <v>0.13389594327652</v>
      </c>
      <c r="I50" s="32" t="n">
        <f aca="false">IF(G50=0,0,H50-$B$11*SQRT(G50))</f>
        <v>0.081438524145211</v>
      </c>
    </row>
    <row r="52" customFormat="false" ht="15" hidden="false" customHeight="false" outlineLevel="0" collapsed="false">
      <c r="A52" s="26" t="s">
        <v>61</v>
      </c>
    </row>
  </sheetData>
  <dataValidations count="1">
    <dataValidation allowBlank="false" errorStyle="stop" operator="between" showDropDown="false" showErrorMessage="false" showInputMessage="false" sqref="B7" type="list">
      <formula1>"CE,PE"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8"/>
    <col collapsed="false" customWidth="true" hidden="false" outlineLevel="0" max="2" min="2" style="1" width="16"/>
  </cols>
  <sheetData>
    <row r="1" customFormat="false" ht="17.25" hidden="false" customHeight="true" outlineLevel="0" collapsed="false">
      <c r="A1" s="2" t="s">
        <v>62</v>
      </c>
    </row>
    <row r="3" customFormat="false" ht="15" hidden="false" customHeight="true" outlineLevel="0" collapsed="false">
      <c r="A3" s="20" t="s">
        <v>63</v>
      </c>
    </row>
    <row r="4" customFormat="false" ht="15" hidden="false" customHeight="true" outlineLevel="0" collapsed="false">
      <c r="A4" s="1" t="s">
        <v>64</v>
      </c>
    </row>
    <row r="5" customFormat="false" ht="15" hidden="false" customHeight="true" outlineLevel="0" collapsed="false">
      <c r="A5" s="1" t="s">
        <v>65</v>
      </c>
      <c r="B5" s="33" t="n">
        <f aca="false">'Trade Analyzer'!B8/(0.4*'Trade Analyzer'!B5*SQRT('Trade Analyzer'!B16))</f>
        <v>0.0122598398044568</v>
      </c>
    </row>
    <row r="6" customFormat="false" ht="15" hidden="false" customHeight="true" outlineLevel="0" collapsed="false">
      <c r="A6" s="3" t="s">
        <v>66</v>
      </c>
    </row>
    <row r="8" customFormat="false" ht="15" hidden="false" customHeight="true" outlineLevel="0" collapsed="false">
      <c r="A8" s="20" t="s">
        <v>67</v>
      </c>
    </row>
    <row r="9" customFormat="false" ht="15" hidden="false" customHeight="true" outlineLevel="0" collapsed="false">
      <c r="A9" s="1" t="s">
        <v>68</v>
      </c>
    </row>
    <row r="10" customFormat="false" ht="15" hidden="false" customHeight="true" outlineLevel="0" collapsed="false">
      <c r="A10" s="1" t="s">
        <v>69</v>
      </c>
    </row>
    <row r="11" customFormat="false" ht="15" hidden="false" customHeight="true" outlineLevel="0" collapsed="false">
      <c r="A11" s="1" t="s">
        <v>70</v>
      </c>
    </row>
    <row r="12" customFormat="false" ht="15" hidden="false" customHeight="true" outlineLevel="0" collapsed="false">
      <c r="A12" s="1" t="s">
        <v>71</v>
      </c>
    </row>
    <row r="13" customFormat="false" ht="15" hidden="false" customHeight="true" outlineLevel="0" collapsed="false">
      <c r="A13" s="1" t="s">
        <v>72</v>
      </c>
    </row>
    <row r="14" customFormat="false" ht="15" hidden="false" customHeight="true" outlineLevel="0" collapsed="false">
      <c r="A14" s="1" t="s">
        <v>73</v>
      </c>
    </row>
    <row r="16" customFormat="false" ht="15" hidden="false" customHeight="true" outlineLevel="0" collapsed="false">
      <c r="A16" s="3" t="s">
        <v>74</v>
      </c>
    </row>
    <row r="17" customFormat="false" ht="15" hidden="false" customHeight="true" outlineLevel="0" collapsed="false">
      <c r="A17" s="3" t="s">
        <v>75</v>
      </c>
    </row>
    <row r="19" customFormat="false" ht="15" hidden="false" customHeight="true" outlineLevel="0" collapsed="false">
      <c r="A19" s="20" t="s">
        <v>76</v>
      </c>
    </row>
    <row r="20" customFormat="false" ht="15" hidden="false" customHeight="true" outlineLevel="0" collapsed="false">
      <c r="A20" s="1" t="s">
        <v>77</v>
      </c>
    </row>
    <row r="21" customFormat="false" ht="15" hidden="false" customHeight="true" outlineLevel="0" collapsed="false">
      <c r="A21" s="1" t="s">
        <v>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12"/>
    <col collapsed="false" customWidth="true" hidden="false" outlineLevel="0" max="3" min="3" style="1" width="10"/>
    <col collapsed="false" customWidth="true" hidden="false" outlineLevel="0" max="4" min="4" style="1" width="8"/>
    <col collapsed="false" customWidth="true" hidden="false" outlineLevel="0" max="5" min="5" style="1" width="14"/>
    <col collapsed="false" customWidth="true" hidden="false" outlineLevel="0" max="6" min="6" style="1" width="11"/>
    <col collapsed="false" customWidth="true" hidden="false" outlineLevel="0" max="7" min="7" style="1" width="18"/>
    <col collapsed="false" customWidth="true" hidden="false" outlineLevel="0" max="8" min="8" style="1" width="12"/>
    <col collapsed="false" customWidth="true" hidden="false" outlineLevel="0" max="9" min="9" style="1" width="13"/>
    <col collapsed="false" customWidth="true" hidden="false" outlineLevel="0" max="10" min="10" style="1" width="12"/>
    <col collapsed="false" customWidth="true" hidden="false" outlineLevel="0" max="11" min="11" style="1" width="10"/>
    <col collapsed="false" customWidth="true" hidden="false" outlineLevel="0" max="12" min="12" style="1" width="22"/>
    <col collapsed="false" customWidth="true" hidden="false" outlineLevel="0" max="13" min="13" style="1" width="30"/>
  </cols>
  <sheetData>
    <row r="1" customFormat="false" ht="15" hidden="false" customHeight="true" outlineLevel="0" collapsed="false">
      <c r="A1" s="34" t="s">
        <v>79</v>
      </c>
      <c r="B1" s="34" t="s">
        <v>80</v>
      </c>
      <c r="C1" s="34" t="s">
        <v>4</v>
      </c>
      <c r="D1" s="34" t="s">
        <v>81</v>
      </c>
      <c r="E1" s="34" t="s">
        <v>82</v>
      </c>
      <c r="F1" s="34" t="s">
        <v>83</v>
      </c>
      <c r="G1" s="34" t="s">
        <v>84</v>
      </c>
      <c r="H1" s="34" t="s">
        <v>85</v>
      </c>
      <c r="I1" s="34" t="s">
        <v>86</v>
      </c>
      <c r="J1" s="34" t="s">
        <v>52</v>
      </c>
      <c r="K1" s="34" t="s">
        <v>53</v>
      </c>
      <c r="L1" s="34" t="s">
        <v>87</v>
      </c>
      <c r="M1" s="34" t="s">
        <v>88</v>
      </c>
    </row>
    <row r="2" customFormat="false" ht="15" hidden="false" customHeight="true" outlineLevel="0" collapsed="false">
      <c r="A2" s="35" t="s">
        <v>89</v>
      </c>
      <c r="B2" s="35" t="s">
        <v>90</v>
      </c>
      <c r="C2" s="35" t="n">
        <v>61500</v>
      </c>
      <c r="D2" s="35" t="s">
        <v>6</v>
      </c>
      <c r="E2" s="35" t="n">
        <v>91</v>
      </c>
      <c r="F2" s="35" t="s">
        <v>91</v>
      </c>
      <c r="G2" s="35" t="s">
        <v>92</v>
      </c>
      <c r="H2" s="35" t="s">
        <v>93</v>
      </c>
      <c r="I2" s="35" t="n">
        <v>63.7</v>
      </c>
      <c r="J2" s="36" t="n">
        <f aca="false">(I2-E2)*1</f>
        <v>-27.3</v>
      </c>
      <c r="K2" s="37" t="n">
        <f aca="false">(I2-E2)/E2</f>
        <v>-0.3</v>
      </c>
      <c r="L2" s="35" t="s">
        <v>94</v>
      </c>
      <c r="M2" s="35" t="s">
        <v>95</v>
      </c>
    </row>
    <row r="4" customFormat="false" ht="15" hidden="false" customHeight="true" outlineLevel="0" collapsed="false">
      <c r="A4" s="3" t="s">
        <v>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2026-07-21T18:34:34Z</dcterms:created>
  <dc:creator>openpyxl</dc:creator>
  <dc:description/>
  <dc:language>en-US</dc:language>
  <cp:lastModifiedBy/>
  <dcterms:modified xsi:type="dcterms:W3CDTF">2026-07-22T15:24:20Z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